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d8cf6413c646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 Consejo" sheetId="1" r:id="R6846536640914166"/>
    <x:sheet xmlns:r="http://schemas.openxmlformats.org/officeDocument/2006/relationships" name="Fases horas tarifas" sheetId="2" r:id="R06f0a78890e94576"/>
    <x:sheet xmlns:r="http://schemas.openxmlformats.org/officeDocument/2006/relationships" name="Entregables" sheetId="3" r:id="R70658c70c31d40f5"/>
    <x:sheet xmlns:r="http://schemas.openxmlformats.org/officeDocument/2006/relationships" name="Infraestructura Soliss" sheetId="4" r:id="R5468a3989e6940de"/>
    <x:sheet xmlns:r="http://schemas.openxmlformats.org/officeDocument/2006/relationships" name="Journey Economics" sheetId="5" r:id="Rf7eb9ee8549e4a05"/>
    <x:sheet xmlns:r="http://schemas.openxmlformats.org/officeDocument/2006/relationships" name="UC derivados" sheetId="6" r:id="R532aa5c99ece4d76"/>
    <x:sheet xmlns:r="http://schemas.openxmlformats.org/officeDocument/2006/relationships" name="Gestion cambio" sheetId="7" r:id="Redc547cb1feb4ccc"/>
    <x:sheet xmlns:r="http://schemas.openxmlformats.org/officeDocument/2006/relationships" name="Riesgos" sheetId="8" r:id="R5e210f51d2a5451d"/>
    <x:sheet xmlns:r="http://schemas.openxmlformats.org/officeDocument/2006/relationships" name="Supuestos" sheetId="9" r:id="R8aa121f35b834f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 €"/>
    <x:numFmt numFmtId="201" formatCode="#,##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73B4C"/>
      </x:patternFill>
    </x:fill>
    <x:fill>
      <x:patternFill patternType="solid">
        <x:fgColor rgb="FF006B62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7c1b6a566d48c2" /><Relationship Type="http://schemas.openxmlformats.org/officeDocument/2006/relationships/theme" Target="/xl/theme/theme1.xml" Id="R303f9eadc7f545a0" /><Relationship Type="http://schemas.openxmlformats.org/officeDocument/2006/relationships/sharedStrings" Target="/xl/sharedStrings.xml" Id="R1c2d7062c62c49c5" /><Relationship Type="http://schemas.openxmlformats.org/officeDocument/2006/relationships/worksheet" Target="/xl/worksheets/sheet1.xml" Id="R6846536640914166" /><Relationship Type="http://schemas.openxmlformats.org/officeDocument/2006/relationships/worksheet" Target="/xl/worksheets/sheet2.xml" Id="R06f0a78890e94576" /><Relationship Type="http://schemas.openxmlformats.org/officeDocument/2006/relationships/worksheet" Target="/xl/worksheets/sheet3.xml" Id="R70658c70c31d40f5" /><Relationship Type="http://schemas.openxmlformats.org/officeDocument/2006/relationships/worksheet" Target="/xl/worksheets/sheet4.xml" Id="R5468a3989e6940de" /><Relationship Type="http://schemas.openxmlformats.org/officeDocument/2006/relationships/worksheet" Target="/xl/worksheets/sheet5.xml" Id="Rf7eb9ee8549e4a05" /><Relationship Type="http://schemas.openxmlformats.org/officeDocument/2006/relationships/worksheet" Target="/xl/worksheets/sheet6.xml" Id="R532aa5c99ece4d76" /><Relationship Type="http://schemas.openxmlformats.org/officeDocument/2006/relationships/worksheet" Target="/xl/worksheets/sheet7.xml" Id="Redc547cb1feb4ccc" /><Relationship Type="http://schemas.openxmlformats.org/officeDocument/2006/relationships/worksheet" Target="/xl/worksheets/sheet8.xml" Id="R5e210f51d2a5451d" /><Relationship Type="http://schemas.openxmlformats.org/officeDocument/2006/relationships/worksheet" Target="/xl/worksheets/sheet9.xml" Id="R8aa121f35b834f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16" hidden="0" customWidth="1"/>
    <x:col min="4" max="4" width="16" hidden="0" customWidth="1"/>
    <x:col min="5" max="5" width="18" hidden="0" customWidth="1"/>
    <x:col min="6" max="6" width="22" hidden="0" customWidth="1"/>
    <x:col min="7" max="7" width="36" hidden="0" customWidth="1"/>
    <x:col min="8" max="8" width="8" hidden="0" customWidth="1"/>
  </x:cols>
  <x:sheetData>
    <x:row r="1" ht="24" customHeight="1">
      <x:c r="A1" s="5" t="str">
        <x:v>Presupuesto marco actualizado · P0 Infraestructura crítica</x:v>
      </x:c>
    </x:row>
    <x:row r="2" ht="24" customHeight="1">
      <x:c r="A2" s="13" t="str">
        <x:v>P0 contratado · UC1-UC7 como casos de uso derivados · 24 meses + 12 opcionales</x:v>
      </x:c>
    </x:row>
    <x:row r="5">
      <x:c r="A5" s="20" t="str">
        <x:v>Bloque</x:v>
      </x:c>
      <x:c r="B5" s="20" t="str">
        <x:v>Descripción</x:v>
      </x:c>
      <x:c r="C5" s="20" t="str">
        <x:v>Importe Keedio</x:v>
      </x:c>
      <x:c r="D5" s="20" t="str">
        <x:v>Infra Soliss</x:v>
      </x:c>
      <x:c r="E5" s="20" t="str">
        <x:v>Tratamiento</x:v>
      </x:c>
      <x:c r="F5" s="20" t="str">
        <x:v>Decisión Consejo</x:v>
      </x:c>
      <x:c r="G5" s="20" t="str">
        <x:v>Notas</x:v>
      </x:c>
      <x:c r="H5" s="20" t="str"/>
    </x:row>
    <x:row r="6">
      <x:c r="A6" s="30" t="str">
        <x:v>F0 Activación inicial</x:v>
      </x:c>
      <x:c r="B6" s="30" t="str">
        <x:v>Arranque, discovery, To-Be, backlog, primer hito</x:v>
      </x:c>
      <x:c r="C6" s="31" t="n">
        <x:v>20000</x:v>
      </x:c>
      <x:c r="D6" s="31" t="n">
        <x:v>0</x:v>
      </x:c>
      <x:c r="E6" s="30" t="str">
        <x:v>CAPEX potencial</x:v>
      </x:c>
      <x:c r="F6" s="30" t="str">
        <x:v>Aprobación inmediata</x:v>
      </x:c>
      <x:c r="G6" s="30" t="str">
        <x:v>Hito acotado alrededor de 20k</x:v>
      </x:c>
      <x:c r="H6" s="30" t="str"/>
    </x:row>
    <x:row r="7">
      <x:c r="A7" s="30" t="str">
        <x:v>F1-F4 Construcción fundacional</x:v>
      </x:c>
      <x:c r="B7" s="30" t="str">
        <x:v>Blueprint, data mesh, Gravitino PoC, Model Gateway, RAG, DORA/AI Act, UAT</x:v>
      </x:c>
      <x:c r="C7" s="31" t="n">
        <x:v>85786.2</x:v>
      </x:c>
      <x:c r="D7" s="31" t="n">
        <x:v>0</x:v>
      </x:c>
      <x:c r="E7" s="30" t="str">
        <x:v>CAPEX potencial</x:v>
      </x:c>
      <x:c r="F7" s="30" t="str">
        <x:v>Aprobación por gates</x:v>
      </x:c>
      <x:c r="G7" s="30" t="str">
        <x:v>No incluye desarrollo final UC1-UC7</x:v>
      </x:c>
      <x:c r="H7" s="30" t="str"/>
    </x:row>
    <x:row r="8">
      <x:c r="A8" s="30" t="str">
        <x:v>S1 Soporte co-gestionado</x:v>
      </x:c>
      <x:c r="B8" s="30" t="str">
        <x:v>N2/N3, observabilidad, gobierno, mejora continua M3-M24</x:v>
      </x:c>
      <x:c r="C8" s="31" t="n">
        <x:v>77000</x:v>
      </x:c>
      <x:c r="D8" s="31" t="n">
        <x:v>0</x:v>
      </x:c>
      <x:c r="E8" s="30" t="str">
        <x:v>OPEX recurrente</x:v>
      </x:c>
      <x:c r="F8" s="30" t="str">
        <x:v>Servicio base</x:v>
      </x:c>
      <x:c r="G8" s="30" t="str">
        <x:v>40 h/mes aprox.; SLAs a pactar</x:v>
      </x:c>
      <x:c r="H8" s="30" t="str"/>
    </x:row>
    <x:row r="9">
      <x:c r="A9" s="30" t="str">
        <x:v>Total Keedio 24M</x:v>
      </x:c>
      <x:c r="B9" s="30" t="str">
        <x:v>F0-F4 + S1</x:v>
      </x:c>
      <x:c r="C9" s="31" t="n">
        <x:v>182786.2</x:v>
      </x:c>
      <x:c r="D9" s="31" t="n">
        <x:v>0</x:v>
      </x:c>
      <x:c r="E9" s="30" t="str">
        <x:v>CAPEX/OPEX</x:v>
      </x:c>
      <x:c r="F9" s="30" t="str">
        <x:v>Presupuesto contratado</x:v>
      </x:c>
      <x:c r="G9" s="30" t="str">
        <x:v>Servicios profesionales</x:v>
      </x:c>
      <x:c r="H9" s="30" t="str"/>
    </x:row>
    <x:row r="10">
      <x:c r="A10" s="30" t="str">
        <x:v>Infraestructura Soliss recomendada</x:v>
      </x:c>
      <x:c r="B10" s="30" t="str">
        <x:v>Hardware, GPU, almacenamiento, red, backup, licencias/soporte</x:v>
      </x:c>
      <x:c r="C10" s="31" t="n">
        <x:v>0</x:v>
      </x:c>
      <x:c r="D10" s="31" t="n">
        <x:v>230000</x:v>
      </x:c>
      <x:c r="E10" s="30" t="str">
        <x:v>CAPEX/OPEX Soliss</x:v>
      </x:c>
      <x:c r="F10" s="30" t="str">
        <x:v>Presupuesto separado</x:v>
      </x:c>
      <x:c r="G10" s="30" t="str">
        <x:v>Rango recomendado 180k-280k</x:v>
      </x:c>
      <x:c r="H10" s="30" t="str"/>
    </x:row>
    <x:row r="11">
      <x:c r="A11" s="30" t="str">
        <x:v>TCO recomendado 24M</x:v>
      </x:c>
      <x:c r="B11" s="30" t="str">
        <x:v>Keedio + infraestructura recomendada Soliss</x:v>
      </x:c>
      <x:c r="C11" s="31" t="n">
        <x:v>182786.2</x:v>
      </x:c>
      <x:c r="D11" s="31" t="n">
        <x:v>230000</x:v>
      </x:c>
      <x:c r="E11" s="30" t="str">
        <x:v>Mixto</x:v>
      </x:c>
      <x:c r="F11" s="30" t="str">
        <x:v>Visión Consejo</x:v>
      </x:c>
      <x:c r="G11" s="30" t="n">
        <x:f>C11+D11</x:f>
        <x:v>412786.2</x:v>
      </x:c>
      <x:c r="H11" s="30" t="str"/>
    </x:row>
    <x:row r="12">
      <x:c r="A12" s="30" t="str">
        <x:v>S2 Año opcional</x:v>
      </x:c>
      <x:c r="B12" s="30" t="str">
        <x:v>Extensión M25-M36</x:v>
      </x:c>
      <x:c r="C12" s="31" t="n">
        <x:v>42000</x:v>
      </x:c>
      <x:c r="D12" s="31" t="n">
        <x:v>0</x:v>
      </x:c>
      <x:c r="E12" s="30" t="str">
        <x:v>OPEX opcional</x:v>
      </x:c>
      <x:c r="F12" s="30" t="str">
        <x:v>Opcional</x:v>
      </x:c>
      <x:c r="G12" s="30" t="str">
        <x:v>No obligatorio</x:v>
      </x:c>
      <x:c r="H12" s="30" t="str"/>
    </x:row>
    <x:row r="13">
      <x:c r="A13" s="30"/>
      <x:c r="B13" s="30"/>
      <x:c r="C13" s="31"/>
      <x:c r="D13" s="31"/>
      <x:c r="E13" s="30"/>
      <x:c r="F13" s="30"/>
      <x:c r="G13" s="30"/>
      <x:c r="H13" s="30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12" hidden="0" customWidth="1"/>
    <x:col min="4" max="4" width="10" hidden="0" customWidth="1"/>
    <x:col min="5" max="5" width="14" hidden="0" customWidth="1"/>
    <x:col min="6" max="6" width="16" hidden="0" customWidth="1"/>
    <x:col min="7" max="7" width="18" hidden="0" customWidth="1"/>
    <x:col min="8" max="8" width="42" hidden="0" customWidth="1"/>
  </x:cols>
  <x:sheetData>
    <x:row r="1" ht="24" customHeight="1">
      <x:c r="A1" s="5" t="str">
        <x:v>Horas previstas, importes y precio medio por fase</x:v>
      </x:c>
    </x:row>
    <x:row r="2" ht="24" customHeight="1">
      <x:c r="A2" s="13" t="str">
        <x:v>Precio/hora explícito por fase · CAPEX/OPEX separado</x:v>
      </x:c>
    </x:row>
    <x:row r="5">
      <x:c r="A5" s="20" t="str">
        <x:v>Fase</x:v>
      </x:c>
      <x:c r="B5" s="20" t="str">
        <x:v>Nombre y alcance principal</x:v>
      </x:c>
      <x:c r="C5" s="20" t="str">
        <x:v>Periodo</x:v>
      </x:c>
      <x:c r="D5" s="20" t="str">
        <x:v>Horas</x:v>
      </x:c>
      <x:c r="E5" s="20" t="str">
        <x:v>Importe</x:v>
      </x:c>
      <x:c r="F5" s="20" t="str">
        <x:v>Precio medio/hora</x:v>
      </x:c>
      <x:c r="G5" s="20" t="str">
        <x:v>Tratamiento contable</x:v>
      </x:c>
      <x:c r="H5" s="20" t="str">
        <x:v>Entregable/resultado</x:v>
      </x:c>
    </x:row>
    <x:row r="6">
      <x:c r="A6" s="26" t="str">
        <x:v>F0</x:v>
      </x:c>
      <x:c r="B6" s="26" t="str">
        <x:v>Activación inicial P0, alcance ejecutivo, discovery, To-Be y backlog</x:v>
      </x:c>
      <x:c r="C6" s="26" t="str">
        <x:v>M1-M2</x:v>
      </x:c>
      <x:c r="D6" s="36" t="n">
        <x:v>223</x:v>
      </x:c>
      <x:c r="E6" s="27" t="n">
        <x:v>20000</x:v>
      </x:c>
      <x:c r="F6" s="27" t="n">
        <x:f>E6/D6</x:f>
        <x:v>89.68609865470852</x:v>
      </x:c>
      <x:c r="G6" s="26" t="str">
        <x:v>CAPEX potencial</x:v>
      </x:c>
      <x:c r="H6" s="26" t="str">
        <x:v>Acta de arranque, alcance, mapa AS-IS/TO-BE, backlog UC1-UC7, plan de decisión</x:v>
      </x:c>
    </x:row>
    <x:row r="7">
      <x:c r="A7" s="26" t="str">
        <x:v>F1</x:v>
      </x:c>
      <x:c r="B7" s="26" t="str">
        <x:v>Blueprint de infraestructura crítica on-premise: Rancher/RKE2, red, seguridad</x:v>
      </x:c>
      <x:c r="C7" s="26" t="str">
        <x:v>M1-M3</x:v>
      </x:c>
      <x:c r="D7" s="36" t="n">
        <x:v>285</x:v>
      </x:c>
      <x:c r="E7" s="27" t="n">
        <x:v>25500</x:v>
      </x:c>
      <x:c r="F7" s="27" t="n">
        <x:f>E7/D7</x:f>
        <x:v>89.47368421052632</x:v>
      </x:c>
      <x:c r="G7" s="26" t="str">
        <x:v>CAPEX potencial</x:v>
      </x:c>
      <x:c r="H7" s="26" t="str">
        <x:v>Blueprint técnico, sizing inicial hardware antes de G2, diseño de clústeres y red</x:v>
      </x:c>
    </x:row>
    <x:row r="8">
      <x:c r="A8" s="26" t="str">
        <x:v>F2</x:v>
      </x:c>
      <x:c r="B8" s="26" t="str">
        <x:v>Data Mesh federado y PoC Apache Gravitino: catálogo, linaje y fallback</x:v>
      </x:c>
      <x:c r="C8" s="26" t="str">
        <x:v>M2-M4</x:v>
      </x:c>
      <x:c r="D8" s="36" t="n">
        <x:v>240</x:v>
      </x:c>
      <x:c r="E8" s="27" t="n">
        <x:v>21900</x:v>
      </x:c>
      <x:c r="F8" s="27" t="n">
        <x:f>E8/D8</x:f>
        <x:v>91.25</x:v>
      </x:c>
      <x:c r="G8" s="26" t="str">
        <x:v>CAPEX potencial</x:v>
      </x:c>
      <x:c r="H8" s="26" t="str">
        <x:v>PoC Gravitino, criterios Go/No-Go, alternativa Polaris/metastore si no madura</x:v>
      </x:c>
    </x:row>
    <x:row r="9">
      <x:c r="A9" s="26" t="str">
        <x:v>F3</x:v>
      </x:c>
      <x:c r="B9" s="26" t="str">
        <x:v>Model Gateway, RAG gobernado y verticalización de patrones</x:v>
      </x:c>
      <x:c r="C9" s="26" t="str">
        <x:v>M3-M5</x:v>
      </x:c>
      <x:c r="D9" s="36" t="n">
        <x:v>279</x:v>
      </x:c>
      <x:c r="E9" s="27" t="n">
        <x:v>25886.2</x:v>
      </x:c>
      <x:c r="F9" s="27" t="n">
        <x:f>E9/D9</x:f>
        <x:v>92.7820788530466</x:v>
      </x:c>
      <x:c r="G9" s="26" t="str">
        <x:v>CAPEX potencial</x:v>
      </x:c>
      <x:c r="H9" s="26" t="str">
        <x:v>Gateway local-first, logs, cuotas, trazabilidad, HITL, RAG con fuentes y permisos</x:v>
      </x:c>
    </x:row>
    <x:row r="10">
      <x:c r="A10" s="26" t="str">
        <x:v>F4</x:v>
      </x:c>
      <x:c r="B10" s="26" t="str">
        <x:v>Seguridad DORA/AI Act, UAT, runbooks, gestión del cambio y cierre</x:v>
      </x:c>
      <x:c r="C10" s="26" t="str">
        <x:v>M4-M6</x:v>
      </x:c>
      <x:c r="D10" s="36" t="n">
        <x:v>145</x:v>
      </x:c>
      <x:c r="E10" s="27" t="n">
        <x:v>12500</x:v>
      </x:c>
      <x:c r="F10" s="27" t="n">
        <x:f>E10/D10</x:f>
        <x:v>86.20689655172414</x:v>
      </x:c>
      <x:c r="G10" s="26" t="str">
        <x:v>CAPEX potencial</x:v>
      </x:c>
      <x:c r="H10" s="26" t="str">
        <x:v>UAT, plan de pruebas, runbooks, manual técnico/usuario, cierre y transferencia</x:v>
      </x:c>
    </x:row>
    <x:row r="11">
      <x:c r="A11" s="26" t="str">
        <x:v>S1</x:v>
      </x:c>
      <x:c r="B11" s="26" t="str">
        <x:v>Servicio de soporte co-gestionado base: N2/N3, observabilidad y gobierno</x:v>
      </x:c>
      <x:c r="C11" s="26" t="str">
        <x:v>M3-M24</x:v>
      </x:c>
      <x:c r="D11" s="36" t="n">
        <x:v>880</x:v>
      </x:c>
      <x:c r="E11" s="27" t="n">
        <x:v>77000</x:v>
      </x:c>
      <x:c r="F11" s="27" t="n">
        <x:f>E11/D11</x:f>
        <x:v>87.5</x:v>
      </x:c>
      <x:c r="G11" s="26" t="str">
        <x:v>OPEX recurrente</x:v>
      </x:c>
      <x:c r="H11" s="26" t="str">
        <x:v>Soporte 40 h/mes aprox., SLAs, seguimiento, informes y mejora continua</x:v>
      </x:c>
    </x:row>
    <x:row r="12">
      <x:c r="A12" s="26" t="str">
        <x:v>S2</x:v>
      </x:c>
      <x:c r="B12" s="26" t="str">
        <x:v>Año opcional de continuidad operativa y madurez</x:v>
      </x:c>
      <x:c r="C12" s="26" t="str">
        <x:v>M25-M36</x:v>
      </x:c>
      <x:c r="D12" s="36" t="n">
        <x:v>480</x:v>
      </x:c>
      <x:c r="E12" s="27" t="n">
        <x:v>42000</x:v>
      </x:c>
      <x:c r="F12" s="27" t="n">
        <x:f>E12/D12</x:f>
        <x:v>87.5</x:v>
      </x:c>
      <x:c r="G12" s="26" t="str">
        <x:v>OPEX opcional</x:v>
      </x:c>
      <x:c r="H12" s="26" t="str">
        <x:v>Extensión opcional, refuerzo operativo y reducción de dependencia</x:v>
      </x:c>
    </x:row>
    <x:row r="14">
      <x:c r="A14" s="20" t="str">
        <x:v>Resumen</x:v>
      </x:c>
      <x:c r="B14" s="20" t="str">
        <x:v>Horas</x:v>
      </x:c>
      <x:c r="C14" s="20" t="str">
        <x:v>Importe</x:v>
      </x:c>
      <x:c r="D14" s="20" t="str">
        <x:v>Precio medio</x:v>
      </x:c>
      <x:c r="E14" s="20" t="str">
        <x:v>CAPEX F0-F4</x:v>
      </x:c>
      <x:c r="F14" s="20" t="str">
        <x:v>OPEX S1</x:v>
      </x:c>
      <x:c r="G14" s="20" t="str">
        <x:v>Opcional S2</x:v>
      </x:c>
      <x:c r="H14" s="20" t="str">
        <x:v>Notas</x:v>
      </x:c>
    </x:row>
    <x:row r="15">
      <x:c r="A15" t="str">
        <x:v>Total 24 meses</x:v>
      </x:c>
      <x:c r="B15" t="n">
        <x:f>SUM(D6:D11)</x:f>
        <x:v>2052</x:v>
      </x:c>
      <x:c r="C15" s="24" t="n">
        <x:f>SUM(E6:E11)</x:f>
        <x:v>182786.2</x:v>
      </x:c>
      <x:c r="D15" s="24" t="n">
        <x:f>C15/B15</x:f>
        <x:v>89.0770955165692</x:v>
      </x:c>
      <x:c r="E15" s="24" t="n">
        <x:f>SUM(E6:E10)</x:f>
        <x:v>105786.2</x:v>
      </x:c>
      <x:c r="F15" s="24" t="n">
        <x:f>E11</x:f>
        <x:v>77000</x:v>
      </x:c>
      <x:c r="G15" s="24" t="n">
        <x:f>E12</x:f>
        <x:v>42000</x:v>
      </x:c>
      <x:c r="H15" t="str">
        <x:v>F0-F4 + S1, sin infraestructura Soliss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48" hidden="0" customWidth="1"/>
    <x:col min="4" max="4" width="12" hidden="0" customWidth="1"/>
    <x:col min="5" max="5" width="30" hidden="0" customWidth="1"/>
  </x:cols>
  <x:sheetData>
    <x:row r="1" ht="24" customHeight="1">
      <x:c r="A1" s="5" t="str">
        <x:v>Matriz de entregables</x:v>
      </x:c>
    </x:row>
    <x:row r="2" ht="24" customHeight="1">
      <x:c r="A2" s="13" t="str">
        <x:v>Diferencia entre entregables generales, técnicos, usuario, operación y cierre</x:v>
      </x:c>
    </x:row>
    <x:row r="5">
      <x:c r="A5" s="20" t="str">
        <x:v>Tipo</x:v>
      </x:c>
      <x:c r="B5" s="20" t="str">
        <x:v>Entregable</x:v>
      </x:c>
      <x:c r="C5" s="20" t="str">
        <x:v>Contenido</x:v>
      </x:c>
      <x:c r="D5" s="20" t="str">
        <x:v>Fase</x:v>
      </x:c>
      <x:c r="E5" s="20" t="str">
        <x:v>Criterio de aceptación</x:v>
      </x:c>
    </x:row>
    <x:row r="6">
      <x:c r="A6" s="26" t="str">
        <x:v>General</x:v>
      </x:c>
      <x:c r="B6" s="26" t="str">
        <x:v>Plan de proyecto</x:v>
      </x:c>
      <x:c r="C6" s="26" t="str">
        <x:v>Cronograma, metodología, recursos, riesgos, hitos, gates G1-G4 y gobierno</x:v>
      </x:c>
      <x:c r="D6" s="26" t="str">
        <x:v>F0-F4</x:v>
      </x:c>
      <x:c r="E6" s="26" t="str">
        <x:v>Documento aprobado y trazable</x:v>
      </x:c>
    </x:row>
    <x:row r="7">
      <x:c r="A7" s="26" t="str">
        <x:v>General</x:v>
      </x:c>
      <x:c r="B7" s="26" t="str">
        <x:v>Informes de avance</x:v>
      </x:c>
      <x:c r="C7" s="26" t="str">
        <x:v>Estado, riesgos, desviaciones, acciones correctivas y decisiones</x:v>
      </x:c>
      <x:c r="D7" s="26" t="str">
        <x:v>S1</x:v>
      </x:c>
      <x:c r="E7" s="26" t="str">
        <x:v>Informe mensual/comité</x:v>
      </x:c>
    </x:row>
    <x:row r="8">
      <x:c r="A8" s="26" t="str">
        <x:v>Funcional</x:v>
      </x:c>
      <x:c r="B8" s="26" t="str">
        <x:v>Especificaciones funcionales</x:v>
      </x:c>
      <x:c r="C8" s="26" t="str">
        <x:v>Qué debe hacer P0 desde el punto de vista de operación, gobierno y habilitación de UC1-UC7</x:v>
      </x:c>
      <x:c r="D8" s="26" t="str">
        <x:v>F0/F3/F4</x:v>
      </x:c>
      <x:c r="E8" s="26" t="str">
        <x:v>Revisión con Soliss</x:v>
      </x:c>
    </x:row>
    <x:row r="9">
      <x:c r="A9" s="26" t="str">
        <x:v>Técnico</x:v>
      </x:c>
      <x:c r="B9" s="26" t="str">
        <x:v>Especificaciones técnicas</x:v>
      </x:c>
      <x:c r="C9" s="26" t="str">
        <x:v>Arquitectura, APIs, modelos de datos, integraciones, permisos, logging, retención</x:v>
      </x:c>
      <x:c r="D9" s="26" t="str">
        <x:v>F1-F4</x:v>
      </x:c>
      <x:c r="E9" s="26" t="str">
        <x:v>Validación IT/Security</x:v>
      </x:c>
    </x:row>
    <x:row r="10">
      <x:c r="A10" s="26" t="str">
        <x:v>Técnico</x:v>
      </x:c>
      <x:c r="B10" s="26" t="str">
        <x:v>Diseños de solución</x:v>
      </x:c>
      <x:c r="C10" s="26" t="str">
        <x:v>Diagramas de arquitectura, flujos, patrones RAG/Model Gateway, clústeres y data mesh</x:v>
      </x:c>
      <x:c r="D10" s="26" t="str">
        <x:v>F1-F3</x:v>
      </x:c>
      <x:c r="E10" s="26" t="str">
        <x:v>Blueprint aceptado</x:v>
      </x:c>
    </x:row>
    <x:row r="11">
      <x:c r="A11" s="26" t="str">
        <x:v>Técnico</x:v>
      </x:c>
      <x:c r="B11" s="26" t="str">
        <x:v>Código fuente / IaC / configuración</x:v>
      </x:c>
      <x:c r="C11" s="26" t="str">
        <x:v>Repositorios, versiones, plantillas, scripts, Helm/manifest si aplica</x:v>
      </x:c>
      <x:c r="D11" s="26" t="str">
        <x:v>F2-F4</x:v>
      </x:c>
      <x:c r="E11" s="26" t="str">
        <x:v>Versionado y documentado</x:v>
      </x:c>
    </x:row>
    <x:row r="12">
      <x:c r="A12" s="26" t="str">
        <x:v>Pruebas</x:v>
      </x:c>
      <x:c r="B12" s="26" t="str">
        <x:v>Plan de pruebas</x:v>
      </x:c>
      <x:c r="C12" s="26" t="str">
        <x:v>Casos de prueba, UAT, criterios de aceptación, rendimiento, seguridad y cobertura</x:v>
      </x:c>
      <x:c r="D12" s="26" t="str">
        <x:v>F3-F4</x:v>
      </x:c>
      <x:c r="E12" s="26" t="str">
        <x:v>Pruebas firmadas</x:v>
      </x:c>
    </x:row>
    <x:row r="13">
      <x:c r="A13" s="26" t="str">
        <x:v>Operación</x:v>
      </x:c>
      <x:c r="B13" s="26" t="str">
        <x:v>Manual técnico</x:v>
      </x:c>
      <x:c r="C13" s="26" t="str">
        <x:v>Instalación, configuración, mantenimiento, backup, actualización, troubleshooting</x:v>
      </x:c>
      <x:c r="D13" s="26" t="str">
        <x:v>F4/S1</x:v>
      </x:c>
      <x:c r="E13" s="26" t="str">
        <x:v>Runbook operativo</x:v>
      </x:c>
    </x:row>
    <x:row r="14">
      <x:c r="A14" s="26" t="str">
        <x:v>Usuario</x:v>
      </x:c>
      <x:c r="B14" s="26" t="str">
        <x:v>Manual de usuario</x:v>
      </x:c>
      <x:c r="C14" s="26" t="str">
        <x:v>Guía operativa para usuarios clave, data owners, soporte y validación humana</x:v>
      </x:c>
      <x:c r="D14" s="26" t="str">
        <x:v>F4/S1</x:v>
      </x:c>
      <x:c r="E14" s="26" t="str">
        <x:v>Guías y formación</x:v>
      </x:c>
    </x:row>
    <x:row r="15">
      <x:c r="A15" s="26" t="str">
        <x:v>Cierre</x:v>
      </x:c>
      <x:c r="B15" s="26" t="str">
        <x:v>Informe de cierre</x:v>
      </x:c>
      <x:c r="C15" s="26" t="str">
        <x:v>Evaluación final, cumplimiento de objetivos, lecciones aprendidas y roadmap UC1-UC7</x:v>
      </x:c>
      <x:c r="D15" s="26" t="str">
        <x:v>F4</x:v>
      </x:c>
      <x:c r="E15" s="26" t="str">
        <x:v>G4 aprobado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20" hidden="0" customWidth="1"/>
    <x:col min="4" max="4" width="15" hidden="0" customWidth="1"/>
    <x:col min="5" max="5" width="15" hidden="0" customWidth="1"/>
    <x:col min="6" max="6" width="40" hidden="0" customWidth="1"/>
  </x:cols>
  <x:sheetData>
    <x:row r="1" ht="24" customHeight="1">
      <x:c r="A1" s="5" t="str">
        <x:v>Inversión de infraestructura a cargo de Soliss</x:v>
      </x:c>
    </x:row>
    <x:row r="2" ht="24" customHeight="1">
      <x:c r="A2" s="13" t="str">
        <x:v>Keedio no compra ni revende hardware · Sizing y validación en P0</x:v>
      </x:c>
    </x:row>
    <x:row r="5">
      <x:c r="A5" s="20" t="str">
        <x:v>Bloque tecnológico</x:v>
      </x:c>
      <x:c r="B5" s="20" t="str">
        <x:v>Descripción</x:v>
      </x:c>
      <x:c r="C5" s="20" t="str">
        <x:v>Tratamiento contable</x:v>
      </x:c>
      <x:c r="D5" s="20" t="str">
        <x:v>Rango mínimo</x:v>
      </x:c>
      <x:c r="E5" s="20" t="str">
        <x:v>Rango máximo</x:v>
      </x:c>
      <x:c r="F5" s="20" t="str">
        <x:v>Observaciones</x:v>
      </x:c>
    </x:row>
    <x:row r="6">
      <x:c r="A6" s="26" t="str">
        <x:v>Clúster Gestión Rancher</x:v>
      </x:c>
      <x:c r="B6" s="26" t="str">
        <x:v>3 nodos control plane, quórum etcd, gestión Rancher</x:v>
      </x:c>
      <x:c r="C6" s="26" t="str">
        <x:v>CAPEX Soliss</x:v>
      </x:c>
      <x:c r="D6" s="27" t="n">
        <x:v>18000</x:v>
      </x:c>
      <x:c r="E6" s="27" t="n">
        <x:v>30000</x:v>
      </x:c>
      <x:c r="F6" s="26" t="str">
        <x:v>Iniciar especificación en F0; aprobación antes de G2</x:v>
      </x:c>
    </x:row>
    <x:row r="7">
      <x:c r="A7" s="26" t="str">
        <x:v>Clúster Gobierno</x:v>
      </x:c>
      <x:c r="B7" s="26" t="str">
        <x:v>3 nodos RKE2 para Keycloak, Gravitino PoC, PostgreSQL/CloudNativePG</x:v>
      </x:c>
      <x:c r="C7" s="26" t="str">
        <x:v>CAPEX Soliss</x:v>
      </x:c>
      <x:c r="D7" s="27" t="n">
        <x:v>25000</x:v>
      </x:c>
      <x:c r="E7" s="27" t="n">
        <x:v>45000</x:v>
      </x:c>
      <x:c r="F7" s="26" t="str">
        <x:v>Alta disponibilidad desde el diseño; no exponer como SPOF</x:v>
      </x:c>
    </x:row>
    <x:row r="8">
      <x:c r="A8" s="26" t="str">
        <x:v>Clúster Dominios</x:v>
      </x:c>
      <x:c r="B8" s="26" t="str">
        <x:v>Nodos horizontales por empresa/dominio para conectores y pipelines</x:v>
      </x:c>
      <x:c r="C8" s="26" t="str">
        <x:v>CAPEX Soliss</x:v>
      </x:c>
      <x:c r="D8" s="27" t="n">
        <x:v>45000</x:v>
      </x:c>
      <x:c r="E8" s="27" t="n">
        <x:v>90000</x:v>
      </x:c>
      <x:c r="F8" s="26" t="str">
        <x:v>Escalado por dominio; los casos UC1-UC7 se activan modularmente</x:v>
      </x:c>
    </x:row>
    <x:row r="9">
      <x:c r="A9" s="26" t="str">
        <x:v>Cómputo GPU Local</x:v>
      </x:c>
      <x:c r="B9" s="26" t="str">
        <x:v>Nodos GPU para LLM local, embeddings, reranking, OCR y visión</x:v>
      </x:c>
      <x:c r="C9" s="26" t="str">
        <x:v>CAPEX Soliss</x:v>
      </x:c>
      <x:c r="D9" s="27" t="n">
        <x:v>60000</x:v>
      </x:c>
      <x:c r="E9" s="27" t="n">
        <x:v>80000</x:v>
      </x:c>
      <x:c r="F9" s="26" t="str">
        <x:v>Se recomienda rango alto; mínimo bajo puede provocar latencia</x:v>
      </x:c>
    </x:row>
    <x:row r="10">
      <x:c r="A10" s="26" t="str">
        <x:v>Almacenamiento y Lago</x:v>
      </x:c>
      <x:c r="B10" s="26" t="str">
        <x:v>NAS/SAN/MinIO/Ceph, snapshots, 20-100 TB</x:v>
      </x:c>
      <x:c r="C10" s="26" t="str">
        <x:v>CAPEX Soliss</x:v>
      </x:c>
      <x:c r="D10" s="27" t="n">
        <x:v>35000</x:v>
      </x:c>
      <x:c r="E10" s="27" t="n">
        <x:v>90000</x:v>
      </x:c>
      <x:c r="F10" s="26" t="str">
        <x:v>Con pruebas de restauración y evidencias</x:v>
      </x:c>
    </x:row>
    <x:row r="11">
      <x:c r="A11" s="26" t="str">
        <x:v>Backup y Resiliencia</x:v>
      </x:c>
      <x:c r="B11" s="26" t="str">
        <x:v>Backups inmutables, retención, DRP y pruebas de recuperación</x:v>
      </x:c>
      <x:c r="C11" s="26" t="str">
        <x:v>CAPEX/OPEX Soliss</x:v>
      </x:c>
      <x:c r="D11" s="27" t="n">
        <x:v>20000</x:v>
      </x:c>
      <x:c r="E11" s="27" t="n">
        <x:v>60000</x:v>
      </x:c>
      <x:c r="F11" s="26" t="str">
        <x:v>Necesario para DORA y continuidad de negocio</x:v>
      </x:c>
    </x:row>
    <x:row r="12">
      <x:c r="A12" s="26" t="str">
        <x:v>Red y Seguridad</x:v>
      </x:c>
      <x:c r="B12" s="26" t="str">
        <x:v>Firewalls, VPN, balanceo, TLS, CA interna, segmentación</x:v>
      </x:c>
      <x:c r="C12" s="26" t="str">
        <x:v>CAPEX Soliss</x:v>
      </x:c>
      <x:c r="D12" s="27" t="n">
        <x:v>15000</x:v>
      </x:c>
      <x:c r="E12" s="27" t="n">
        <x:v>45000</x:v>
      </x:c>
      <x:c r="F12" s="26" t="str">
        <x:v>Evitar tráfico público entre clústeres</x:v>
      </x:c>
    </x:row>
    <x:row r="13">
      <x:c r="A13" s="26" t="str">
        <x:v>Licencias y Soporte</x:v>
      </x:c>
      <x:c r="B13" s="26" t="str">
        <x:v>Rancher Prime/SUSE, soporte hardware, virtualización y backup</x:v>
      </x:c>
      <x:c r="C13" s="26" t="str">
        <x:v>OPEX/CAPEX Soliss</x:v>
      </x:c>
      <x:c r="D13" s="27" t="n">
        <x:v>0</x:v>
      </x:c>
      <x:c r="E13" s="27" t="n">
        <x:v>60000</x:v>
      </x:c>
      <x:c r="F13" s="26" t="str">
        <x:v>0-60k/año según soporte comercial elegido</x:v>
      </x:c>
    </x:row>
    <x:row r="15">
      <x:c r="A15" s="20" t="str">
        <x:v>Escenario</x:v>
      </x:c>
      <x:c r="B15" s="20" t="str">
        <x:v>Descripción</x:v>
      </x:c>
      <x:c r="C15" s="20" t="str">
        <x:v>Rango mínimo</x:v>
      </x:c>
      <x:c r="D15" s="20" t="str">
        <x:v>Rango máximo</x:v>
      </x:c>
      <x:c r="E15" s="20" t="str">
        <x:v>Recomendación</x:v>
      </x:c>
    </x:row>
    <x:row r="16">
      <x:c r="A16" s="26" t="str">
        <x:v>Escenario mínimo</x:v>
      </x:c>
      <x:c r="B16" s="26" t="str">
        <x:v>Infraestructura básica para piloto industrial limitado</x:v>
      </x:c>
      <x:c r="C16" s="27" t="n">
        <x:v>125000</x:v>
      </x:c>
      <x:c r="D16" s="27" t="n">
        <x:v>175000</x:v>
      </x:c>
      <x:c r="E16" s="26" t="str">
        <x:v>Puede limitar concurrencia y redundancia GPU</x:v>
      </x:c>
    </x:row>
    <x:row r="17">
      <x:c r="A17" s="26" t="str">
        <x:v>Escenario recomendado</x:v>
      </x:c>
      <x:c r="B17" s="26" t="str">
        <x:v>Configuración robusta para crecimiento controlado</x:v>
      </x:c>
      <x:c r="C17" s="27" t="n">
        <x:v>180000</x:v>
      </x:c>
      <x:c r="D17" s="27" t="n">
        <x:v>280000</x:v>
      </x:c>
      <x:c r="E17" s="26" t="str">
        <x:v>Recomendado para Consejo y continuidad operativa</x:v>
      </x:c>
    </x:row>
    <x:row r="18">
      <x:c r="A18" s="26" t="str">
        <x:v>Escenario alta disponibilidad</x:v>
      </x:c>
      <x:c r="B18" s="26" t="str">
        <x:v>Redundancia y capacidad elevadas</x:v>
      </x:c>
      <x:c r="C18" s="27" t="n">
        <x:v>300000</x:v>
      </x:c>
      <x:c r="D18" s="27" t="n">
        <x:v>450000</x:v>
      </x:c>
      <x:c r="E18" s="26" t="str">
        <x:v>Adecuado si se aceleran UC1-UC7 o se exige SLA alto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6" hidden="0" customWidth="1"/>
    <x:col min="4" max="4" width="24" hidden="0" customWidth="1"/>
    <x:col min="5" max="5" width="26" hidden="0" customWidth="1"/>
    <x:col min="6" max="6" width="26" hidden="0" customWidth="1"/>
  </x:cols>
  <x:sheetData>
    <x:row r="1" ht="24" customHeight="1">
      <x:c r="A1" s="5" t="str">
        <x:v>Journey + Economics para Consejo</x:v>
      </x:c>
    </x:row>
    <x:row r="2" ht="24" customHeight="1">
      <x:c r="A2" s="13" t="str">
        <x:v>Decisiones, valor y lectura económica del programa</x:v>
      </x:c>
    </x:row>
    <x:row r="5">
      <x:c r="A5" s="20" t="str">
        <x:v>Momento</x:v>
      </x:c>
      <x:c r="B5" s="20" t="str">
        <x:v>Decisión/objetivo</x:v>
      </x:c>
      <x:c r="C5" s="20" t="str">
        <x:v>Valor para Soliss</x:v>
      </x:c>
      <x:c r="D5" s="20" t="str">
        <x:v>Economics</x:v>
      </x:c>
      <x:c r="E5" s="20" t="str">
        <x:v>Riesgo controlado</x:v>
      </x:c>
      <x:c r="F5" s="20" t="str">
        <x:v>Resultado</x:v>
      </x:c>
    </x:row>
    <x:row r="6">
      <x:c r="A6" s="26" t="str">
        <x:v>M1-M2</x:v>
      </x:c>
      <x:c r="B6" s="26" t="str">
        <x:v>Activar F0 y fijar perímetro P0</x:v>
      </x:c>
      <x:c r="C6" s="26" t="str">
        <x:v>Reduce incertidumbre y evita contratar verticales sin base</x:v>
      </x:c>
      <x:c r="D6" s="26" t="str">
        <x:v>20.000 € CAPEX potencial</x:v>
      </x:c>
      <x:c r="E6" s="26" t="str">
        <x:v>Alcance y expectativas</x:v>
      </x:c>
      <x:c r="F6" s="26" t="str">
        <x:v>G1: alcance aprobado</x:v>
      </x:c>
    </x:row>
    <x:row r="7">
      <x:c r="A7" s="26" t="str">
        <x:v>M1-M3</x:v>
      </x:c>
      <x:c r="B7" s="26" t="str">
        <x:v>Aprobar blueprint y hardware</x:v>
      </x:c>
      <x:c r="C7" s="26" t="str">
        <x:v>Prepara infraestructura crítica y compra Soliss</x:v>
      </x:c>
      <x:c r="D7" s="26" t="str">
        <x:v>F1 25.500 € + CAPEX hardware Soliss</x:v>
      </x:c>
      <x:c r="E7" s="26" t="str">
        <x:v>Retraso hardware</x:v>
      </x:c>
      <x:c r="F7" s="26" t="str">
        <x:v>G2: sizing y compra</x:v>
      </x:c>
    </x:row>
    <x:row r="8">
      <x:c r="A8" s="26" t="str">
        <x:v>M2-M4</x:v>
      </x:c>
      <x:c r="B8" s="26" t="str">
        <x:v>Validar data mesh y Gravitino PoC</x:v>
      </x:c>
      <x:c r="C8" s="26" t="str">
        <x:v>Gobierno de datos, linaje y catálogo federado</x:v>
      </x:c>
      <x:c r="D8" s="26" t="str">
        <x:v>F2 21.900 €</x:v>
      </x:c>
      <x:c r="E8" s="26" t="str">
        <x:v>Madurez Gravitino</x:v>
      </x:c>
      <x:c r="F8" s="26" t="str">
        <x:v>Go/No-Go y fallback</x:v>
      </x:c>
    </x:row>
    <x:row r="9">
      <x:c r="A9" s="26" t="str">
        <x:v>M3-M5</x:v>
      </x:c>
      <x:c r="B9" s="26" t="str">
        <x:v>Model Gateway y RAG gobernado</x:v>
      </x:c>
      <x:c r="C9" s="26" t="str">
        <x:v>Evita Shadow AI, controla costes y trazabilidad</x:v>
      </x:c>
      <x:c r="D9" s="26" t="str">
        <x:v>F3 25.886,20 €</x:v>
      </x:c>
      <x:c r="E9" s="26" t="str">
        <x:v>AI Act, latencia GPU</x:v>
      </x:c>
      <x:c r="F9" s="26" t="str">
        <x:v>Sandbox validado</x:v>
      </x:c>
    </x:row>
    <x:row r="10">
      <x:c r="A10" s="26" t="str">
        <x:v>M4-M6</x:v>
      </x:c>
      <x:c r="B10" s="26" t="str">
        <x:v>UAT, runbooks y gestión del cambio</x:v>
      </x:c>
      <x:c r="C10" s="26" t="str">
        <x:v>Transferencia y aceptación</x:v>
      </x:c>
      <x:c r="D10" s="26" t="str">
        <x:v>F4 12.500 €</x:v>
      </x:c>
      <x:c r="E10" s="26" t="str">
        <x:v>Adopción y autonomía</x:v>
      </x:c>
      <x:c r="F10" s="26" t="str">
        <x:v>G4: P0 aceptado</x:v>
      </x:c>
    </x:row>
    <x:row r="11">
      <x:c r="A11" s="26" t="str">
        <x:v>M3-M24</x:v>
      </x:c>
      <x:c r="B11" s="26" t="str">
        <x:v>Soporte co-gestionado</x:v>
      </x:c>
      <x:c r="C11" s="26" t="str">
        <x:v>Continuidad, observabilidad y madurez</x:v>
      </x:c>
      <x:c r="D11" s="26" t="str">
        <x:v>S1 77.000 € OPEX</x:v>
      </x:c>
      <x:c r="E11" s="26" t="str">
        <x:v>Dependencia operativa</x:v>
      </x:c>
      <x:c r="F11" s="26" t="str">
        <x:v>Informes y SLAs</x:v>
      </x:c>
    </x:row>
    <x:row r="12">
      <x:c r="A12" s="26" t="str">
        <x:v>M25-M36</x:v>
      </x:c>
      <x:c r="B12" s="26" t="str">
        <x:v>Año opcional</x:v>
      </x:c>
      <x:c r="C12" s="26" t="str">
        <x:v>Evolución y madurez</x:v>
      </x:c>
      <x:c r="D12" s="26" t="str">
        <x:v>S2 42.000 € opcional</x:v>
      </x:c>
      <x:c r="E12" s="26" t="str">
        <x:v>Continuidad</x:v>
      </x:c>
      <x:c r="F12" s="26" t="str">
        <x:v>Decisión futura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30" hidden="0" customWidth="1"/>
    <x:col min="4" max="4" width="42" hidden="0" customWidth="1"/>
    <x:col min="5" max="5" width="42" hidden="0" customWidth="1"/>
  </x:cols>
  <x:sheetData>
    <x:row r="1" ht="24" customHeight="1">
      <x:c r="A1" s="5" t="str">
        <x:v>UC1-UC7 como casos de uso derivados</x:v>
      </x:c>
    </x:row>
    <x:row r="2" ht="24" customHeight="1">
      <x:c r="A2" s="13" t="str">
        <x:v>No forman parte del desarrollo cerrado de P0; P0 habilita su ejecución modular</x:v>
      </x:c>
    </x:row>
    <x:row r="5">
      <x:c r="A5" s="20" t="str">
        <x:v>UC</x:v>
      </x:c>
      <x:c r="B5" s="20" t="str">
        <x:v>Caso de uso derivado</x:v>
      </x:c>
      <x:c r="C5" s="20" t="str">
        <x:v>Áreas implicadas</x:v>
      </x:c>
      <x:c r="D5" s="20" t="str">
        <x:v>Qué habilita P0</x:v>
      </x:c>
      <x:c r="E5" s="20" t="str">
        <x:v>Condición / advertencia</x:v>
      </x:c>
    </x:row>
    <x:row r="6">
      <x:c r="A6" s="26" t="str">
        <x:v>UC1</x:v>
      </x:c>
      <x:c r="B6" s="26" t="str">
        <x:v>Agentes conversacionales</x:v>
      </x:c>
      <x:c r="C6" s="26" t="str">
        <x:v>RRHH, tramitación, siniestros, IT</x:v>
      </x:c>
      <x:c r="D6" s="26" t="str">
        <x:v>RAG por rol, permisos, citas, auditoría</x:v>
      </x:c>
      <x:c r="E6" s="26" t="str">
        <x:v>No incluido como desarrollo completo en P0; se activa como caso derivado</x:v>
      </x:c>
    </x:row>
    <x:row r="7">
      <x:c r="A7" s="26" t="str">
        <x:v>UC2</x:v>
      </x:c>
      <x:c r="B7" s="26" t="str">
        <x:v>Document Intelligence</x:v>
      </x:c>
      <x:c r="C7" s="26" t="str">
        <x:v>Administración, gestión documental</x:v>
      </x:c>
      <x:c r="D7" s="26" t="str">
        <x:v>OCR, extracción, validación, metadatos</x:v>
      </x:c>
      <x:c r="E7" s="26" t="str">
        <x:v>Piloto/patrón habilitado; app final requiere alcance separado</x:v>
      </x:c>
    </x:row>
    <x:row r="8">
      <x:c r="A8" s="26" t="str">
        <x:v>UC3</x:v>
      </x:c>
      <x:c r="B8" s="26" t="str">
        <x:v>Siniestros y fraude</x:v>
      </x:c>
      <x:c r="C8" s="26" t="str">
        <x:v>Siniestros, inspección</x:v>
      </x:c>
      <x:c r="D8" s="26" t="str">
        <x:v>Scoring asistido, reglas, evidencias, HITL</x:v>
      </x:c>
      <x:c r="E8" s="26" t="str">
        <x:v>No automatizar denegaciones sin revisión humana</x:v>
      </x:c>
    </x:row>
    <x:row r="9">
      <x:c r="A9" s="26" t="str">
        <x:v>UC4</x:v>
      </x:c>
      <x:c r="B9" s="26" t="str">
        <x:v>Analítica actuarial</x:v>
      </x:c>
      <x:c r="C9" s="26" t="str">
        <x:v>Actuarial, suscripción</x:v>
      </x:c>
      <x:c r="D9" s="26" t="str">
        <x:v>Data products, cuadros, logs, AI Act si vida/salud</x:v>
      </x:c>
      <x:c r="E9" s="26" t="str">
        <x:v>FRIA/DPIA y clasificación de alto riesgo si aplica</x:v>
      </x:c>
    </x:row>
    <x:row r="10">
      <x:c r="A10" s="26" t="str">
        <x:v>UC5</x:v>
      </x:c>
      <x:c r="B10" s="26" t="str">
        <x:v>Administración y contabilidad</x:v>
      </x:c>
      <x:c r="C10" s="26" t="str">
        <x:v>Finanzas, compras, facturas</x:v>
      </x:c>
      <x:c r="D10" s="26" t="str">
        <x:v>Pipelines, conciliación, reglas y validaciones</x:v>
      </x:c>
      <x:c r="E10" s="26" t="str">
        <x:v>Integración ERP/SAGE/Matrix pendiente de alcance</x:v>
      </x:c>
    </x:row>
    <x:row r="11">
      <x:c r="A11" s="26" t="str">
        <x:v>UC6</x:v>
      </x:c>
      <x:c r="B11" s="26" t="str">
        <x:v>IT y ciberseguridad local</x:v>
      </x:c>
      <x:c r="C11" s="26" t="str">
        <x:v>Sistemas, desarrollo, seguridad</x:v>
      </x:c>
      <x:c r="D11" s="26" t="str">
        <x:v>Agente técnico local, logs, observabilidad</x:v>
      </x:c>
      <x:c r="E11" s="26" t="str">
        <x:v>Requiere conexión a repositorios y estándares Soliss</x:v>
      </x:c>
    </x:row>
    <x:row r="12">
      <x:c r="A12" s="26" t="str">
        <x:v>UC7</x:v>
      </x:c>
      <x:c r="B12" s="26" t="str">
        <x:v>Grupo Soliss no asegurador</x:v>
      </x:c>
      <x:c r="C12" s="26" t="str">
        <x:v>Fundación, servicios, brokering</x:v>
      </x:c>
      <x:c r="D12" s="26" t="str">
        <x:v>Multiempresa, aislamiento, dominios y permisos</x:v>
      </x:c>
      <x:c r="E12" s="26" t="str">
        <x:v>Activación modular por madurez digital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45" hidden="0" customWidth="1"/>
    <x:col min="4" max="4" width="22" hidden="0" customWidth="1"/>
    <x:col min="5" max="5" width="32" hidden="0" customWidth="1"/>
  </x:cols>
  <x:sheetData>
    <x:row r="1" ht="24" customHeight="1">
      <x:c r="A1" s="5" t="str">
        <x:v>Gestión del cambio y perfiles</x:v>
      </x:c>
    </x:row>
    <x:row r="2" ht="24" customHeight="1">
      <x:c r="A2" s="13" t="str">
        <x:v>Dedicación mínima recomendada para evitar riesgo operativo y de usuario</x:v>
      </x:c>
    </x:row>
    <x:row r="5">
      <x:c r="A5" s="20" t="str">
        <x:v>Parte</x:v>
      </x:c>
      <x:c r="B5" s="20" t="str">
        <x:v>Perfil</x:v>
      </x:c>
      <x:c r="C5" s="20" t="str">
        <x:v>Responsabilidad</x:v>
      </x:c>
      <x:c r="D5" s="20" t="str">
        <x:v>Dedicación recomendada</x:v>
      </x:c>
      <x:c r="E5" s="20" t="str">
        <x:v>Observación</x:v>
      </x:c>
    </x:row>
    <x:row r="6">
      <x:c r="A6" s="26" t="str">
        <x:v>Soliss</x:v>
      </x:c>
      <x:c r="B6" s="26" t="str">
        <x:v>Sponsor ejecutivo</x:v>
      </x:c>
      <x:c r="C6" s="26" t="str">
        <x:v>Decisiones de presupuesto, prioridades y gates</x:v>
      </x:c>
      <x:c r="D6" s="26" t="str">
        <x:v>1-2 h/mes + gates</x:v>
      </x:c>
      <x:c r="E6" s="26" t="str">
        <x:v>G1-G4</x:v>
      </x:c>
    </x:row>
    <x:row r="7">
      <x:c r="A7" s="26" t="str">
        <x:v>Soliss</x:v>
      </x:c>
      <x:c r="B7" s="26" t="str">
        <x:v>Responsable interno transversal</x:v>
      </x:c>
      <x:c r="C7" s="26" t="str">
        <x:v>Liderar negocio/tecnología, backlog, áreas, adopción</x:v>
      </x:c>
      <x:c r="D7" s="26" t="str">
        <x:v>50%-100% F0-F4</x:v>
      </x:c>
      <x:c r="E7" s="26" t="str">
        <x:v>Dedicación crítica</x:v>
      </x:c>
    </x:row>
    <x:row r="8">
      <x:c r="A8" s="26" t="str">
        <x:v>Soliss</x:v>
      </x:c>
      <x:c r="B8" s="26" t="str">
        <x:v>IT infraestructura</x:v>
      </x:c>
      <x:c r="C8" s="26" t="str">
        <x:v>CPD, RKE2, red, backup, GPU, validación DR</x:v>
      </x:c>
      <x:c r="D8" s="26" t="str">
        <x:v>Mín. 12 h/sem F1-F3</x:v>
      </x:c>
      <x:c r="E8" s="26" t="str">
        <x:v>Necesario para no bloquear hardware</x:v>
      </x:c>
    </x:row>
    <x:row r="9">
      <x:c r="A9" s="26" t="str">
        <x:v>Soliss</x:v>
      </x:c>
      <x:c r="B9" s="26" t="str">
        <x:v>Seguridad / Cumplimiento</x:v>
      </x:c>
      <x:c r="C9" s="26" t="str">
        <x:v>DORA, RGPD, AI Act, auditoría, riesgos</x:v>
      </x:c>
      <x:c r="D9" s="26" t="str">
        <x:v>2-4 h/sem F1-F4</x:v>
      </x:c>
      <x:c r="E9" s="26" t="str">
        <x:v>Cláusulas y evidencias</x:v>
      </x:c>
    </x:row>
    <x:row r="10">
      <x:c r="A10" s="26" t="str">
        <x:v>Soliss</x:v>
      </x:c>
      <x:c r="B10" s="26" t="str">
        <x:v>Data Owners / Key Users</x:v>
      </x:c>
      <x:c r="C10" s="26" t="str">
        <x:v>Permisos, UAT, criterios, adopción</x:v>
      </x:c>
      <x:c r="D10" s="26" t="str">
        <x:v>Por sprint/UC</x:v>
      </x:c>
      <x:c r="E10" s="26" t="str">
        <x:v>Evitar brecha de usuario</x:v>
      </x:c>
    </x:row>
    <x:row r="11">
      <x:c r="A11" s="26" t="str">
        <x:v>Keedio</x:v>
      </x:c>
      <x:c r="B11" s="26" t="str">
        <x:v>Dirección de proyecto / PMO</x:v>
      </x:c>
      <x:c r="C11" s="26" t="str">
        <x:v>Plan, riesgos, coordinación, comité, economics</x:v>
      </x:c>
      <x:c r="D11" s="26" t="str">
        <x:v>Transversal</x:v>
      </x:c>
      <x:c r="E11" s="26" t="str">
        <x:v>Interlocución ejecutiva</x:v>
      </x:c>
    </x:row>
    <x:row r="12">
      <x:c r="A12" s="26" t="str">
        <x:v>Keedio</x:v>
      </x:c>
      <x:c r="B12" s="26" t="str">
        <x:v>Arquitectura plataforma</x:v>
      </x:c>
      <x:c r="C12" s="26" t="str">
        <x:v>Rancher/RKE2, clústeres, observabilidad, sizing</x:v>
      </x:c>
      <x:c r="D12" s="26" t="str">
        <x:v>F1-F4/S1</x:v>
      </x:c>
      <x:c r="E12" s="26" t="str">
        <x:v>Infra crítica</x:v>
      </x:c>
    </x:row>
    <x:row r="13">
      <x:c r="A13" s="26" t="str">
        <x:v>Keedio</x:v>
      </x:c>
      <x:c r="B13" s="26" t="str">
        <x:v>Arquitectura datos/IA</x:v>
      </x:c>
      <x:c r="C13" s="26" t="str">
        <x:v>Data mesh, Gravitino, Model Gateway, RAG, gobernanza</x:v>
      </x:c>
      <x:c r="D13" s="26" t="str">
        <x:v>F2-F4/S1</x:v>
      </x:c>
      <x:c r="E13" s="26" t="str">
        <x:v>Habilitadores IA</x:v>
      </x:c>
    </x:row>
    <x:row r="14">
      <x:c r="A14" s="26" t="str">
        <x:v>Keedio</x:v>
      </x:c>
      <x:c r="B14" s="26" t="str">
        <x:v>Ingeniería IA/RPA</x:v>
      </x:c>
      <x:c r="C14" s="26" t="str">
        <x:v>n8n, integración, APIs, pilotos técnicos, automatización</x:v>
      </x:c>
      <x:c r="D14" s="26" t="str">
        <x:v>F2-F4/S1</x:v>
      </x:c>
      <x:c r="E14" s="26" t="str">
        <x:v>Patrones reutilizables</x:v>
      </x:c>
    </x:row>
    <x:row r="15">
      <x:c r="A15" s="26" t="str">
        <x:v>Keedio</x:v>
      </x:c>
      <x:c r="B15" s="26" t="str">
        <x:v>Seguridad/QA/Documentación</x:v>
      </x:c>
      <x:c r="C15" s="26" t="str">
        <x:v>Pruebas, UAT, manuales, runbooks, DORA/AI Act</x:v>
      </x:c>
      <x:c r="D15" s="26" t="str">
        <x:v>F3-F4/S1</x:v>
      </x:c>
      <x:c r="E15" s="26" t="str">
        <x:v>Transferencia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" hidden="0" customWidth="1"/>
    <x:col min="3" max="3" width="14" hidden="0" customWidth="1"/>
    <x:col min="4" max="4" width="60" hidden="0" customWidth="1"/>
    <x:col min="5" max="5" width="24" hidden="0" customWidth="1"/>
  </x:cols>
  <x:sheetData>
    <x:row r="1" ht="24" customHeight="1">
      <x:c r="A1" s="5" t="str">
        <x:v>Matriz de riesgos final</x:v>
      </x:c>
    </x:row>
    <x:row r="2" ht="24" customHeight="1">
      <x:c r="A2" s="13" t="str">
        <x:v>Riesgos tecnológicos, normativos, financieros, operativos y de usuario con mitigación</x:v>
      </x:c>
    </x:row>
    <x:row r="5">
      <x:c r="A5" s="20" t="str">
        <x:v>Riesgo</x:v>
      </x:c>
      <x:c r="B5" s="20" t="str">
        <x:v>Impacto</x:v>
      </x:c>
      <x:c r="C5" s="20" t="str">
        <x:v>Probabilidad</x:v>
      </x:c>
      <x:c r="D5" s="20" t="str">
        <x:v>Mitigación obligatoria</x:v>
      </x:c>
      <x:c r="E5" s="20" t="str">
        <x:v>Owner</x:v>
      </x:c>
    </x:row>
    <x:row r="6">
      <x:c r="A6" s="26" t="str">
        <x:v>TCO infravalorado</x:v>
      </x:c>
      <x:c r="B6" s="26" t="str">
        <x:v>Alto</x:v>
      </x:c>
      <x:c r="C6" s="26" t="str">
        <x:v>Alta</x:v>
      </x:c>
      <x:c r="D6" s="26" t="str">
        <x:v>Aprobar servicios Keedio + presupuesto hardware Soliss en decisión conjunta; objetivo recomendado 200k-280k €</x:v>
      </x:c>
      <x:c r="E6" s="26" t="str">
        <x:v>Consejo / Finanzas</x:v>
      </x:c>
    </x:row>
    <x:row r="7">
      <x:c r="A7" s="26" t="str">
        <x:v>Retraso hardware/GPU bloquea G2/G3</x:v>
      </x:c>
      <x:c r="B7" s="26" t="str">
        <x:v>Alto</x:v>
      </x:c>
      <x:c r="C7" s="26" t="str">
        <x:v>Media</x:v>
      </x:c>
      <x:c r="D7" s="26" t="str">
        <x:v>Entregar especificaciones en F0 y lanzar licitación desde semana 1; fallback sandbox limitado si procede</x:v>
      </x:c>
      <x:c r="E7" s="26" t="str">
        <x:v>Soliss IT + Keedio</x:v>
      </x:c>
    </x:row>
    <x:row r="8">
      <x:c r="A8" s="26" t="str">
        <x:v>Contrato no alineado con DORA</x:v>
      </x:c>
      <x:c r="B8" s="26" t="str">
        <x:v>Alto</x:v>
      </x:c>
      <x:c r="C8" s="26" t="str">
        <x:v>Media</x:v>
      </x:c>
      <x:c r="D8" s="26" t="str">
        <x:v>Incluir auditoría, subcontratas, exit plan, continuidad y derechos de inspección en anexos contractuales</x:v>
      </x:c>
      <x:c r="E8" s="26" t="str">
        <x:v>Legal/Compliance</x:v>
      </x:c>
    </x:row>
    <x:row r="9">
      <x:c r="A9" s="26" t="str">
        <x:v>Gravitino no madura / SPOF</x:v>
      </x:c>
      <x:c r="B9" s="26" t="str">
        <x:v>Crítico</x:v>
      </x:c>
      <x:c r="C9" s="26" t="str">
        <x:v>Media</x:v>
      </x:c>
      <x:c r="D9" s="26" t="str">
        <x:v>PoC no bloqueante, HA desde diseño y alternativa documentada: Polaris/metastore tradicional/DataHub si procede</x:v>
      </x:c>
      <x:c r="E9" s="26" t="str">
        <x:v>Arquitectura</x:v>
      </x:c>
    </x:row>
    <x:row r="10">
      <x:c r="A10" s="26" t="str">
        <x:v>GPU insuficiente</x:v>
      </x:c>
      <x:c r="B10" s="26" t="str">
        <x:v>Medio/Alto</x:v>
      </x:c>
      <x:c r="C10" s="26" t="str">
        <x:v>Alta</x:v>
      </x:c>
      <x:c r="D10" s="26" t="str">
        <x:v>Dimensionar rango alto 60k-80k con dos nodos si concurrencia y OCR/visión son relevantes</x:v>
      </x:c>
      <x:c r="E10" s="26" t="str">
        <x:v>Soliss IT</x:v>
      </x:c>
    </x:row>
    <x:row r="11">
      <x:c r="A11" s="26" t="str">
        <x:v>AI Act / alto riesgo</x:v>
      </x:c>
      <x:c r="B11" s="26" t="str">
        <x:v>Alto</x:v>
      </x:c>
      <x:c r="C11" s="26" t="str">
        <x:v>Media</x:v>
      </x:c>
      <x:c r="D11" s="26" t="str">
        <x:v>Logs inmutables 6 meses, HITL, FRIA/DPIA si aplica, no decisión automática en suscripción/tarificación</x:v>
      </x:c>
      <x:c r="E11" s="26" t="str">
        <x:v>Compliance + Data</x:v>
      </x:c>
    </x:row>
    <x:row r="12">
      <x:c r="A12" s="26" t="str">
        <x:v>Brecha de expectativas de usuario</x:v>
      </x:c>
      <x:c r="B12" s="26" t="str">
        <x:v>Medio</x:v>
      </x:c>
      <x:c r="C12" s="26" t="str">
        <x:v>Alta</x:v>
      </x:c>
      <x:c r="D12" s="26" t="str">
        <x:v>Comunicar que P0 es habilitador; UC1-UC7 requieren business case y presupuesto separado</x:v>
      </x:c>
      <x:c r="E12" s="26" t="str">
        <x:v>PO Transversal</x:v>
      </x:c>
    </x:row>
    <x:row r="13">
      <x:c r="A13" s="26" t="str">
        <x:v>Sobrecarga equipo Soliss</x:v>
      </x:c>
      <x:c r="B13" s="26" t="str">
        <x:v>Alto</x:v>
      </x:c>
      <x:c r="C13" s="26" t="str">
        <x:v>Alta</x:v>
      </x:c>
      <x:c r="D13" s="26" t="str">
        <x:v>Responsable interno 50%-100% F0-F4; IT mínimo 12 h/semana en F1-F3; champions por dominio</x:v>
      </x:c>
      <x:c r="E13" s="26" t="str">
        <x:v>Soliss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30" hidden="0" customWidth="1"/>
    <x:col min="4" max="4" width="20" hidden="0" customWidth="1"/>
  </x:cols>
  <x:sheetData>
    <x:row r="1" ht="24" customHeight="1">
      <x:c r="A1" s="5" t="str">
        <x:v>Supuestos, condiciones y límites de alcance</x:v>
      </x:c>
    </x:row>
    <x:row r="2" ht="24" customHeight="1">
      <x:c r="A2" s="13" t="str">
        <x:v>Lectura contractual recomendada</x:v>
      </x:c>
    </x:row>
    <x:row r="5">
      <x:c r="A5" s="20" t="str">
        <x:v>Supuesto / condición</x:v>
      </x:c>
      <x:c r="B5" s="20" t="str">
        <x:v>Detalle</x:v>
      </x:c>
      <x:c r="C5" s="20" t="str">
        <x:v>Impacto</x:v>
      </x:c>
      <x:c r="D5" s="20" t="str">
        <x:v>Validación</x:v>
      </x:c>
    </x:row>
    <x:row r="6">
      <x:c r="A6" s="26" t="str">
        <x:v>P0 es el único proyecto contratado</x:v>
      </x:c>
      <x:c r="B6" s="26" t="str">
        <x:v>UC1-UC7 son casos de uso derivados y requieren alcance/presupuesto específico si se activan.</x:v>
      </x:c>
      <x:c r="C6" s="26" t="str">
        <x:v>Evita confusión de alcance.</x:v>
      </x:c>
      <x:c r="D6" s="26" t="str">
        <x:v>Contrato y anexos</x:v>
      </x:c>
    </x:row>
    <x:row r="7">
      <x:c r="A7" s="26" t="str">
        <x:v>Infraestructura Soliss separada</x:v>
      </x:c>
      <x:c r="B7" s="26" t="str">
        <x:v>La compra de hardware, licencias, CPD, soporte fabricante y red es responsabilidad de Soliss.</x:v>
      </x:c>
      <x:c r="C7" s="26" t="str">
        <x:v>Evita revender máquinas y clarifica CAPEX.</x:v>
      </x:c>
      <x:c r="D7" s="26" t="str">
        <x:v>Presupuesto Soliss</x:v>
      </x:c>
    </x:row>
    <x:row r="8">
      <x:c r="A8" s="26" t="str">
        <x:v>CAPEX/OPEX orientativo</x:v>
      </x:c>
      <x:c r="B8" s="26" t="str">
        <x:v>F0-F4 pueden tratarse como CAPEX potencial; S1/S2 como OPEX. Validación contable final corresponde a Soliss.</x:v>
      </x:c>
      <x:c r="C8" s="26" t="str">
        <x:v>Facilita inversión.</x:v>
      </x:c>
      <x:c r="D8" s="26" t="str">
        <x:v>Finanzas Soliss</x:v>
      </x:c>
    </x:row>
    <x:row r="9">
      <x:c r="A9" s="26" t="str">
        <x:v>DORA contractual</x:v>
      </x:c>
      <x:c r="B9" s="26" t="str">
        <x:v>Incluir registro de subcontratas, derechos de auditoría, continuidad, exit plan y acceso regulatorio.</x:v>
      </x:c>
      <x:c r="C9" s="26" t="str">
        <x:v>Reduce riesgo normativo.</x:v>
      </x:c>
      <x:c r="D9" s="26" t="str">
        <x:v>Legal/Compliance</x:v>
      </x:c>
    </x:row>
    <x:row r="10">
      <x:c r="A10" s="26" t="str">
        <x:v>AI Act</x:v>
      </x:c>
      <x:c r="B10" s="26" t="str">
        <x:v>Logs mínimos 6 meses, FRIA/DPIA si aplica y supervisión humana obligatoria en alto riesgo.</x:v>
      </x:c>
      <x:c r="C10" s="26" t="str">
        <x:v>Reduce riesgo de uso IA.</x:v>
      </x:c>
      <x:c r="D10" s="26" t="str">
        <x:v>Compliance/Data</x:v>
      </x:c>
    </x:row>
    <x:row r="11">
      <x:c r="A11" s="26" t="str">
        <x:v>Gravitino</x:v>
      </x:c>
      <x:c r="B11" s="26" t="str">
        <x:v>PoC sandbox y no dependencia productiva inicial; fallback si no supera G3.</x:v>
      </x:c>
      <x:c r="C11" s="26" t="str">
        <x:v>Reduce riesgo tecnológico.</x:v>
      </x:c>
      <x:c r="D11" s="26" t="str">
        <x:v>G3</x:v>
      </x:c>
    </x:row>
    <x:row r="12">
      <x:c r="A12" s="26" t="str">
        <x:v>Hardware</x:v>
      </x:c>
      <x:c r="B12" s="26" t="str">
        <x:v>Especificaciones y licitación desde F0 para no bloquear G2/G3.</x:v>
      </x:c>
      <x:c r="C12" s="26" t="str">
        <x:v>Reduce riesgo de plazo.</x:v>
      </x:c>
      <x:c r="D12" s="26" t="str">
        <x:v>IT/Compras</x:v>
      </x:c>
    </x:row>
    <x:row r="13">
      <x:c r="A13" s="26"/>
      <x:c r="B13" s="26"/>
      <x:c r="C13" s="26"/>
      <x:c r="D13" s="26"/>
    </x:row>
  </x:sheetData>
  <x:mergeCells>
    <x:mergeCell ref="A1:D1"/>
    <x:mergeCell ref="A2:D2"/>
  </x:mergeCells>
  <x:pageMargins left="0.7" right="0.7" top="0.75" bottom="0.75" header="0.3" footer="0.3"/>
</x:worksheet>
</file>